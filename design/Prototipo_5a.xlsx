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ueba1" sheetId="1" state="visible" r:id="rId3"/>
    <sheet name="prueba2" sheetId="2" state="visible" r:id="rId4"/>
    <sheet name="prueb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<sst xmlns="http://schemas.openxmlformats.org/spreadsheetml/2006/main" count="45" uniqueCount="15">
  <si>
    <t xml:space="preserve">p_objetivo</t>
  </si>
  <si>
    <t xml:space="preserve">dof</t>
  </si>
  <si>
    <t xml:space="preserve">num_segmentos</t>
  </si>
  <si>
    <t xml:space="preserve">tolerancia_error</t>
  </si>
  <si>
    <t xml:space="preserve">x_inicial</t>
  </si>
  <si>
    <t xml:space="preserve">d_inicial</t>
  </si>
  <si>
    <t xml:space="preserve">iter</t>
  </si>
  <si>
    <t xml:space="preserve">x_i</t>
  </si>
  <si>
    <t xml:space="preserve">p(x_i)</t>
  </si>
  <si>
    <t xml:space="preserve">error_i</t>
  </si>
  <si>
    <t xml:space="preserve">signo_i</t>
  </si>
  <si>
    <t xml:space="preserve">d_i</t>
  </si>
  <si>
    <t xml:space="preserve">x_(i+1)</t>
  </si>
  <si>
    <t xml:space="preserve">|error_i|</t>
  </si>
  <si>
    <t xml:space="preserve">cumple_tolerancia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</si>
</sst>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9.11"/>
    <col collapsed="false" customWidth="true" hidden="false" outlineLevel="0" max="4" min="4" style="0" width="21"/>
    <col collapsed="false" customWidth="true" hidden="false" outlineLevel="0" max="5" min="5" style="0" width="11"/>
    <col collapsed="false" customWidth="true" hidden="false" outlineLevel="0" max="6" min="6" style="0" width="29"/>
    <col collapsed="false" customWidth="true" hidden="false" outlineLevel="0" max="7" min="7" style="0" width="24"/>
    <col collapsed="false" customWidth="true" hidden="false" outlineLevel="0" max="8" min="8" style="0" width="28"/>
    <col collapsed="false" customWidth="true" hidden="false" outlineLevel="0" max="9" min="9" style="0" width="11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1"/>
    </row>
    <row r="3" customFormat="false" ht="15" hidden="false" customHeight="false" outlineLevel="0" collapsed="false">
      <c r="B3" s="0" t="s">
        <v>0</v>
      </c>
      <c r="C3" s="0" t="n">
        <v>0.2</v>
      </c>
    </row>
    <row r="4" customFormat="false" ht="15" hidden="false" customHeight="false" outlineLevel="0" collapsed="false">
      <c r="B4" s="0" t="s">
        <v>1</v>
      </c>
      <c r="C4" s="0" t="n">
        <v>6</v>
      </c>
    </row>
    <row r="5" customFormat="false" ht="15" hidden="false" customHeight="false" outlineLevel="0" collapsed="false">
      <c r="B5" s="0" t="s">
        <v>2</v>
      </c>
      <c r="C5" s="0" t="n">
        <v>10</v>
      </c>
    </row>
    <row r="6" customFormat="false" ht="15" hidden="false" customHeight="false" outlineLevel="0" collapsed="false">
      <c r="B6" s="0" t="s">
        <v>3</v>
      </c>
      <c r="C6" s="0" t="n">
        <v>1E-005</v>
      </c>
    </row>
    <row r="7" customFormat="false" ht="15" hidden="false" customHeight="false" outlineLevel="0" collapsed="false">
      <c r="B7" s="0" t="s">
        <v>4</v>
      </c>
      <c r="C7" s="0" t="n">
        <v>1</v>
      </c>
    </row>
    <row r="8" customFormat="false" ht="15" hidden="false" customHeight="false" outlineLevel="0" collapsed="false">
      <c r="B8" s="0" t="s">
        <v>5</v>
      </c>
      <c r="C8" s="0" t="n">
        <v>0.5</v>
      </c>
    </row>
    <row r="11" customFormat="false" ht="1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</row>
    <row r="12" customFormat="false" ht="15" hidden="false" customHeight="false" outlineLevel="0" collapsed="false">
      <c r="B12" s="0" t="n">
        <v>0</v>
      </c>
      <c r="C12" s="0" t="n">
        <f aca="false">$C$7</f>
        <v>1</v>
      </c>
      <c r="D12" s="0" t="n">
        <v>0.322041385928335</v>
      </c>
      <c r="E12" s="0" t="n">
        <f aca="false">$C$3-D12</f>
        <v>-0.122041385928335</v>
      </c>
      <c r="F12" s="0" t="n">
        <f aca="false">IF(E12&gt;0,1,IF(E12&lt;0,-1,0))</f>
        <v>-1</v>
      </c>
      <c r="G12" s="0" t="n">
        <f aca="false">$C$8</f>
        <v>0.5</v>
      </c>
      <c r="H12" s="0" t="n">
        <f aca="false">IF(E12&gt;0,C12+G12,C12-G12)</f>
        <v>0.5</v>
      </c>
      <c r="I12" s="0" t="n">
        <f aca="false">ABS(E12)</f>
        <v>0.122041385928335</v>
      </c>
      <c r="J12" s="0" t="str">
        <f aca="false">IF(I12&lt;=$C$6,"SI","NO")</f>
        <v>NO</v>
      </c>
    </row>
    <row r="13" customFormat="false" ht="15" hidden="false" customHeight="false" outlineLevel="0" collapsed="false">
      <c r="B13" s="0" t="n">
        <v>1</v>
      </c>
      <c r="C13" s="0" t="n">
        <f aca="false">H12</f>
        <v>0.5</v>
      </c>
      <c r="D13" s="0" t="n">
        <v>0.182560023831043</v>
      </c>
      <c r="E13" s="0" t="n">
        <f aca="false">$C$3-D13</f>
        <v>0.0174399761689569</v>
      </c>
      <c r="F13" s="0" t="n">
        <f aca="false">IF(E13&gt;0,1,IF(E13&lt;0,-1,0))</f>
        <v>1</v>
      </c>
      <c r="G13" s="0" t="n">
        <f aca="false">IF(F13=F12,G12,G12/2)</f>
        <v>0.25</v>
      </c>
      <c r="H13" s="0" t="n">
        <f aca="false">IF(E13&gt;0,C13+G13,C13-G13)</f>
        <v>0.75</v>
      </c>
      <c r="I13" s="0" t="n">
        <f aca="false">ABS(E13)</f>
        <v>0.0174399761689569</v>
      </c>
      <c r="J13" s="0" t="str">
        <f aca="false">IF(I13&lt;=$C$6,"SI","NO")</f>
        <v>NO</v>
      </c>
    </row>
    <row r="14" customFormat="false" ht="15" hidden="false" customHeight="false" outlineLevel="0" collapsed="false">
      <c r="B14" s="0" t="n">
        <v>2</v>
      </c>
      <c r="C14" s="0" t="n">
        <f aca="false">H13</f>
        <v>0.75</v>
      </c>
      <c r="D14" s="0" t="n">
        <v>0.259191204128758</v>
      </c>
      <c r="E14" s="0" t="n">
        <f aca="false">$C$3-D14</f>
        <v>-0.0591912041287575</v>
      </c>
      <c r="F14" s="0" t="n">
        <f aca="false">IF(E14&gt;0,1,IF(E14&lt;0,-1,0))</f>
        <v>-1</v>
      </c>
      <c r="G14" s="0" t="n">
        <f aca="false">IF(F14=F13,G13,G13/2)</f>
        <v>0.125</v>
      </c>
      <c r="H14" s="0" t="n">
        <f aca="false">IF(E14&gt;0,C14+G14,C14-G14)</f>
        <v>0.625</v>
      </c>
      <c r="I14" s="0" t="n">
        <f aca="false">ABS(E14)</f>
        <v>0.0591912041287575</v>
      </c>
      <c r="J14" s="0" t="str">
        <f aca="false">IF(I14&lt;=$C$6,"SI","NO")</f>
        <v>NO</v>
      </c>
    </row>
    <row r="15" customFormat="false" ht="15" hidden="false" customHeight="false" outlineLevel="0" collapsed="false">
      <c r="B15" s="0" t="n">
        <v>3</v>
      </c>
      <c r="C15" s="0" t="n">
        <f aca="false">H14</f>
        <v>0.625</v>
      </c>
      <c r="D15" s="0" t="n">
        <v>0.222510146756687</v>
      </c>
      <c r="E15" s="0" t="n">
        <f aca="false">$C$3-D15</f>
        <v>-0.0225101467566867</v>
      </c>
      <c r="F15" s="0" t="n">
        <f aca="false">IF(E15&gt;0,1,IF(E15&lt;0,-1,0))</f>
        <v>-1</v>
      </c>
      <c r="G15" s="0" t="n">
        <f aca="false">IF(F15=F14,G14,G14/2)</f>
        <v>0.125</v>
      </c>
      <c r="H15" s="0" t="n">
        <f aca="false">IF(E15&gt;0,C15+G15,C15-G15)</f>
        <v>0.5</v>
      </c>
      <c r="I15" s="0" t="n">
        <f aca="false">ABS(E15)</f>
        <v>0.0225101467566867</v>
      </c>
      <c r="J15" s="0" t="str">
        <f aca="false">IF(I15&lt;=$C$6,"SI","NO")</f>
        <v>NO</v>
      </c>
    </row>
    <row r="16" customFormat="false" ht="15" hidden="false" customHeight="false" outlineLevel="0" collapsed="false">
      <c r="B16" s="0" t="n">
        <v>4</v>
      </c>
      <c r="C16" s="0" t="n">
        <f aca="false">H15</f>
        <v>0.5</v>
      </c>
      <c r="D16" s="0" t="n">
        <v>0.182560023831043</v>
      </c>
      <c r="E16" s="0" t="n">
        <f aca="false">$C$3-D16</f>
        <v>0.0174399761689569</v>
      </c>
      <c r="F16" s="0" t="n">
        <f aca="false">IF(E16&gt;0,1,IF(E16&lt;0,-1,0))</f>
        <v>1</v>
      </c>
      <c r="G16" s="0" t="n">
        <f aca="false">IF(F16=F15,G15,G15/2)</f>
        <v>0.0625</v>
      </c>
      <c r="H16" s="0" t="n">
        <f aca="false">IF(E16&gt;0,C16+G16,C16-G16)</f>
        <v>0.5625</v>
      </c>
      <c r="I16" s="0" t="n">
        <f aca="false">ABS(E16)</f>
        <v>0.0174399761689569</v>
      </c>
      <c r="J16" s="0" t="str">
        <f aca="false">IF(I16&lt;=$C$6,"SI","NO")</f>
        <v>NO</v>
      </c>
    </row>
    <row r="17" customFormat="false" ht="15" hidden="false" customHeight="false" outlineLevel="0" collapsed="false">
      <c r="B17" s="0" t="n">
        <v>5</v>
      </c>
      <c r="C17" s="0" t="n">
        <f aca="false">H16</f>
        <v>0.5625</v>
      </c>
      <c r="D17" s="0" t="n">
        <v>0.202923919543703</v>
      </c>
      <c r="E17" s="0" t="n">
        <f aca="false">$C$3-D17</f>
        <v>-0.0029239195437025</v>
      </c>
      <c r="F17" s="0" t="n">
        <f aca="false">IF(E17&gt;0,1,IF(E17&lt;0,-1,0))</f>
        <v>-1</v>
      </c>
      <c r="G17" s="0" t="n">
        <f aca="false">IF(F17=F16,G16,G16/2)</f>
        <v>0.03125</v>
      </c>
      <c r="H17" s="0" t="n">
        <f aca="false">IF(E17&gt;0,C17+G17,C17-G17)</f>
        <v>0.53125</v>
      </c>
      <c r="I17" s="0" t="n">
        <f aca="false">ABS(E17)</f>
        <v>0.0029239195437025</v>
      </c>
      <c r="J17" s="0" t="str">
        <f aca="false">IF(I17&lt;=$C$6,"SI","NO")</f>
        <v>NO</v>
      </c>
    </row>
    <row r="18" customFormat="false" ht="15" hidden="false" customHeight="false" outlineLevel="0" collapsed="false">
      <c r="B18" s="0" t="n">
        <v>6</v>
      </c>
      <c r="C18" s="0" t="n">
        <f aca="false">H17</f>
        <v>0.53125</v>
      </c>
      <c r="D18" s="0" t="n">
        <v>0.192836128398848</v>
      </c>
      <c r="E18" s="0" t="n">
        <f aca="false">$C$3-D18</f>
        <v>0.0071638716011517</v>
      </c>
      <c r="F18" s="0" t="n">
        <f aca="false">IF(E18&gt;0,1,IF(E18&lt;0,-1,0))</f>
        <v>1</v>
      </c>
      <c r="G18" s="0" t="n">
        <f aca="false">IF(F18=F17,G17,G17/2)</f>
        <v>0.015625</v>
      </c>
      <c r="H18" s="0" t="n">
        <f aca="false">IF(E18&gt;0,C18+G18,C18-G18)</f>
        <v>0.546875</v>
      </c>
      <c r="I18" s="0" t="n">
        <f aca="false">ABS(E18)</f>
        <v>0.0071638716011517</v>
      </c>
      <c r="J18" s="0" t="str">
        <f aca="false">IF(I18&lt;=$C$6,"SI","NO")</f>
        <v>NO</v>
      </c>
    </row>
    <row r="19" customFormat="false" ht="15" hidden="false" customHeight="false" outlineLevel="0" collapsed="false">
      <c r="B19" s="0" t="n">
        <v>7</v>
      </c>
      <c r="C19" s="0" t="n">
        <f aca="false">H18</f>
        <v>0.546875</v>
      </c>
      <c r="D19" s="0" t="n">
        <v>0.197903970497642</v>
      </c>
      <c r="E19" s="0" t="n">
        <f aca="false">$C$3-D19</f>
        <v>0.0020960295023579</v>
      </c>
      <c r="F19" s="0" t="n">
        <f aca="false">IF(E19&gt;0,1,IF(E19&lt;0,-1,0))</f>
        <v>1</v>
      </c>
      <c r="G19" s="0" t="n">
        <f aca="false">IF(F19=F18,G18,G18/2)</f>
        <v>0.015625</v>
      </c>
      <c r="H19" s="0" t="n">
        <f aca="false">IF(E19&gt;0,C19+G19,C19-G19)</f>
        <v>0.5625</v>
      </c>
      <c r="I19" s="0" t="n">
        <f aca="false">ABS(E19)</f>
        <v>0.0020960295023579</v>
      </c>
      <c r="J19" s="0" t="str">
        <f aca="false">IF(I19&lt;=$C$6,"SI","NO")</f>
        <v>NO</v>
      </c>
    </row>
    <row r="20" customFormat="false" ht="15" hidden="false" customHeight="false" outlineLevel="0" collapsed="false">
      <c r="B20" s="0" t="n">
        <v>8</v>
      </c>
      <c r="C20" s="0" t="n">
        <f aca="false">H19</f>
        <v>0.5625</v>
      </c>
      <c r="D20" s="0" t="n">
        <v>0.202923919543703</v>
      </c>
      <c r="E20" s="0" t="n">
        <f aca="false">$C$3-D20</f>
        <v>-0.0029239195437025</v>
      </c>
      <c r="F20" s="0" t="n">
        <f aca="false">IF(E20&gt;0,1,IF(E20&lt;0,-1,0))</f>
        <v>-1</v>
      </c>
      <c r="G20" s="0" t="n">
        <f aca="false">IF(F20=F19,G19,G19/2)</f>
        <v>0.0078125</v>
      </c>
      <c r="H20" s="0" t="n">
        <f aca="false">IF(E20&gt;0,C20+G20,C20-G20)</f>
        <v>0.5546875</v>
      </c>
      <c r="I20" s="0" t="n">
        <f aca="false">ABS(E20)</f>
        <v>0.0029239195437025</v>
      </c>
      <c r="J20" s="0" t="str">
        <f aca="false">IF(I20&lt;=$C$6,"SI","NO")</f>
        <v>NO</v>
      </c>
    </row>
    <row r="21" customFormat="false" ht="15" hidden="false" customHeight="false" outlineLevel="0" collapsed="false">
      <c r="B21" s="0" t="n">
        <v>9</v>
      </c>
      <c r="C21" s="0" t="n">
        <f aca="false">H20</f>
        <v>0.5546875</v>
      </c>
      <c r="D21" s="0" t="n">
        <v>0.200419980310562</v>
      </c>
      <c r="E21" s="0" t="n">
        <f aca="false">$C$3-D21</f>
        <v>-0.000419980310562396</v>
      </c>
      <c r="F21" s="0" t="n">
        <f aca="false">IF(E21&gt;0,1,IF(E21&lt;0,-1,0))</f>
        <v>-1</v>
      </c>
      <c r="G21" s="0" t="n">
        <f aca="false">IF(F21=F20,G20,G20/2)</f>
        <v>0.0078125</v>
      </c>
      <c r="H21" s="0" t="n">
        <f aca="false">IF(E21&gt;0,C21+G21,C21-G21)</f>
        <v>0.546875</v>
      </c>
      <c r="I21" s="0" t="n">
        <f aca="false">ABS(E21)</f>
        <v>0.000419980310562396</v>
      </c>
      <c r="J21" s="0" t="str">
        <f aca="false">IF(I21&lt;=$C$6,"SI","NO")</f>
        <v>NO</v>
      </c>
    </row>
    <row r="22" customFormat="false" ht="15" hidden="false" customHeight="false" outlineLevel="0" collapsed="false">
      <c r="B22" s="0" t="n">
        <v>10</v>
      </c>
      <c r="C22" s="0" t="n">
        <f aca="false">H21</f>
        <v>0.546875</v>
      </c>
      <c r="D22" s="0" t="n">
        <v>0.197903970497642</v>
      </c>
      <c r="E22" s="0" t="n">
        <f aca="false">$C$3-D22</f>
        <v>0.0020960295023579</v>
      </c>
      <c r="F22" s="0" t="n">
        <f aca="false">IF(E22&gt;0,1,IF(E22&lt;0,-1,0))</f>
        <v>1</v>
      </c>
      <c r="G22" s="0" t="n">
        <f aca="false">IF(F22=F21,G21,G21/2)</f>
        <v>0.00390625</v>
      </c>
      <c r="H22" s="0" t="n">
        <f aca="false">IF(E22&gt;0,C22+G22,C22-G22)</f>
        <v>0.55078125</v>
      </c>
      <c r="I22" s="0" t="n">
        <f aca="false">ABS(E22)</f>
        <v>0.0020960295023579</v>
      </c>
      <c r="J22" s="0" t="str">
        <f aca="false">IF(I22&lt;=$C$6,"SI","NO")</f>
        <v>NO</v>
      </c>
    </row>
    <row r="23" customFormat="false" ht="15" hidden="false" customHeight="false" outlineLevel="0" collapsed="false">
      <c r="B23" s="0" t="n">
        <v>11</v>
      </c>
      <c r="C23" s="0" t="n">
        <f aca="false">H22</f>
        <v>0.55078125</v>
      </c>
      <c r="D23" s="0" t="n">
        <v>0.199163478245375</v>
      </c>
      <c r="E23" s="0" t="n">
        <f aca="false">$C$3-D23</f>
        <v>0.000836521754625424</v>
      </c>
      <c r="F23" s="0" t="n">
        <f aca="false">IF(E23&gt;0,1,IF(E23&lt;0,-1,0))</f>
        <v>1</v>
      </c>
      <c r="G23" s="0" t="n">
        <f aca="false">IF(F23=F22,G22,G22/2)</f>
        <v>0.00390625</v>
      </c>
      <c r="H23" s="0" t="n">
        <f aca="false">IF(E23&gt;0,C23+G23,C23-G23)</f>
        <v>0.5546875</v>
      </c>
      <c r="I23" s="0" t="n">
        <f aca="false">ABS(E23)</f>
        <v>0.000836521754625424</v>
      </c>
      <c r="J23" s="0" t="str">
        <f aca="false">IF(I23&lt;=$C$6,"SI","NO")</f>
        <v>NO</v>
      </c>
    </row>
    <row r="24" customFormat="false" ht="15" hidden="false" customHeight="false" outlineLevel="0" collapsed="false">
      <c r="B24" s="0" t="n">
        <v>12</v>
      </c>
      <c r="C24" s="0" t="n">
        <f aca="false">H23</f>
        <v>0.5546875</v>
      </c>
      <c r="D24" s="0" t="n">
        <v>0.200419980310562</v>
      </c>
      <c r="E24" s="0" t="n">
        <f aca="false">$C$3-D24</f>
        <v>-0.000419980310562396</v>
      </c>
      <c r="F24" s="0" t="n">
        <f aca="false">IF(E24&gt;0,1,IF(E24&lt;0,-1,0))</f>
        <v>-1</v>
      </c>
      <c r="G24" s="0" t="n">
        <f aca="false">IF(F24=F23,G23,G23/2)</f>
        <v>0.001953125</v>
      </c>
      <c r="H24" s="0" t="n">
        <f aca="false">IF(E24&gt;0,C24+G24,C24-G24)</f>
        <v>0.552734375</v>
      </c>
      <c r="I24" s="0" t="n">
        <f aca="false">ABS(E24)</f>
        <v>0.000419980310562396</v>
      </c>
      <c r="J24" s="0" t="str">
        <f aca="false">IF(I24&lt;=$C$6,"SI","NO")</f>
        <v>NO</v>
      </c>
    </row>
    <row r="25" customFormat="false" ht="15" hidden="false" customHeight="false" outlineLevel="0" collapsed="false">
      <c r="B25" s="0" t="n">
        <v>13</v>
      </c>
      <c r="C25" s="0" t="n">
        <f aca="false">H24</f>
        <v>0.552734375</v>
      </c>
      <c r="D25" s="0" t="n">
        <v>0.199792105742258</v>
      </c>
      <c r="E25" s="0" t="n">
        <f aca="false">$C$3-D25</f>
        <v>0.000207894257742203</v>
      </c>
      <c r="F25" s="0" t="n">
        <f aca="false">IF(E25&gt;0,1,IF(E25&lt;0,-1,0))</f>
        <v>1</v>
      </c>
      <c r="G25" s="0" t="n">
        <f aca="false">IF(F25=F24,G24,G24/2)</f>
        <v>0.0009765625</v>
      </c>
      <c r="H25" s="0" t="n">
        <f aca="false">IF(E25&gt;0,C25+G25,C25-G25)</f>
        <v>0.5537109375</v>
      </c>
      <c r="I25" s="0" t="n">
        <f aca="false">ABS(E25)</f>
        <v>0.000207894257742203</v>
      </c>
      <c r="J25" s="0" t="str">
        <f aca="false">IF(I25&lt;=$C$6,"SI","NO")</f>
        <v>NO</v>
      </c>
    </row>
    <row r="26" customFormat="false" ht="15" hidden="false" customHeight="false" outlineLevel="0" collapsed="false">
      <c r="B26" s="0" t="n">
        <v>14</v>
      </c>
      <c r="C26" s="0" t="n">
        <f aca="false">H25</f>
        <v>0.5537109375</v>
      </c>
      <c r="D26" s="0" t="n">
        <v>0.200106137236176</v>
      </c>
      <c r="E26" s="0" t="n">
        <f aca="false">$C$3-D26</f>
        <v>-0.000106137236175891</v>
      </c>
      <c r="F26" s="0" t="n">
        <f aca="false">IF(E26&gt;0,1,IF(E26&lt;0,-1,0))</f>
        <v>-1</v>
      </c>
      <c r="G26" s="0" t="n">
        <f aca="false">IF(F26=F25,G25,G25/2)</f>
        <v>0.00048828125</v>
      </c>
      <c r="H26" s="0" t="n">
        <f aca="false">IF(E26&gt;0,C26+G26,C26-G26)</f>
        <v>0.55322265625</v>
      </c>
      <c r="I26" s="0" t="n">
        <f aca="false">ABS(E26)</f>
        <v>0.000106137236175891</v>
      </c>
      <c r="J26" s="0" t="str">
        <f aca="false">IF(I26&lt;=$C$6,"SI","NO")</f>
        <v>NO</v>
      </c>
    </row>
    <row r="27" customFormat="false" ht="15" hidden="false" customHeight="false" outlineLevel="0" collapsed="false">
      <c r="B27" s="0" t="n">
        <v>15</v>
      </c>
      <c r="C27" s="0" t="n">
        <f aca="false">H26</f>
        <v>0.55322265625</v>
      </c>
      <c r="D27" s="0" t="n">
        <v>0.199949145029971</v>
      </c>
      <c r="E27" s="0" t="n">
        <f aca="false">$C$3-D27</f>
        <v>5.08549700287131E-005</v>
      </c>
      <c r="F27" s="0" t="n">
        <f aca="false">IF(E27&gt;0,1,IF(E27&lt;0,-1,0))</f>
        <v>1</v>
      </c>
      <c r="G27" s="0" t="n">
        <f aca="false">IF(F27=F26,G26,G26/2)</f>
        <v>0.000244140625</v>
      </c>
      <c r="H27" s="0" t="n">
        <f aca="false">IF(E27&gt;0,C27+G27,C27-G27)</f>
        <v>0.553466796875</v>
      </c>
      <c r="I27" s="0" t="n">
        <f aca="false">ABS(E27)</f>
        <v>5.08549700287131E-005</v>
      </c>
      <c r="J27" s="0" t="str">
        <f aca="false">IF(I27&lt;=$C$6,"SI","NO")</f>
        <v>NO</v>
      </c>
    </row>
    <row r="28" customFormat="false" ht="15" hidden="false" customHeight="false" outlineLevel="0" collapsed="false">
      <c r="B28" s="0" t="n">
        <v>16</v>
      </c>
      <c r="C28" s="0" t="n">
        <f aca="false">H27</f>
        <v>0.553466796875</v>
      </c>
      <c r="D28" s="0" t="n">
        <v>0.200027647019725</v>
      </c>
      <c r="E28" s="0" t="n">
        <f aca="false">$C$3-D28</f>
        <v>-2.76470197246026E-005</v>
      </c>
      <c r="F28" s="0" t="n">
        <f aca="false">IF(E28&gt;0,1,IF(E28&lt;0,-1,0))</f>
        <v>-1</v>
      </c>
      <c r="G28" s="0" t="n">
        <f aca="false">IF(F28=F27,G27,G27/2)</f>
        <v>0.0001220703125</v>
      </c>
      <c r="H28" s="0" t="n">
        <f aca="false">IF(E28&gt;0,C28+G28,C28-G28)</f>
        <v>0.5533447265625</v>
      </c>
      <c r="I28" s="0" t="n">
        <f aca="false">ABS(E28)</f>
        <v>2.76470197246026E-005</v>
      </c>
      <c r="J28" s="0" t="str">
        <f aca="false">IF(I28&lt;=$C$6,"SI","NO")</f>
        <v>NO</v>
      </c>
    </row>
    <row r="29" customFormat="false" ht="15" hidden="false" customHeight="false" outlineLevel="0" collapsed="false">
      <c r="B29" s="0" t="n">
        <v>17</v>
      </c>
      <c r="C29" s="0" t="n">
        <f aca="false">H28</f>
        <v>0.5533447265625</v>
      </c>
      <c r="D29" s="0" t="n">
        <v>0.199988397496328</v>
      </c>
      <c r="E29" s="0" t="n">
        <f aca="false">$C$3-D29</f>
        <v>1.16025036720202E-005</v>
      </c>
      <c r="F29" s="0" t="n">
        <f aca="false">IF(E29&gt;0,1,IF(E29&lt;0,-1,0))</f>
        <v>1</v>
      </c>
      <c r="G29" s="0" t="n">
        <f aca="false">IF(F29=F28,G28,G28/2)</f>
        <v>6.103515625E-005</v>
      </c>
      <c r="H29" s="0" t="n">
        <f aca="false">IF(E29&gt;0,C29+G29,C29-G29)</f>
        <v>0.55340576171875</v>
      </c>
      <c r="I29" s="0" t="n">
        <f aca="false">ABS(E29)</f>
        <v>1.16025036720202E-005</v>
      </c>
      <c r="J29" s="0" t="str">
        <f aca="false">IF(I29&lt;=$C$6,"SI","NO")</f>
        <v>NO</v>
      </c>
    </row>
    <row r="30" customFormat="false" ht="15" hidden="false" customHeight="false" outlineLevel="0" collapsed="false">
      <c r="B30" s="0" t="n">
        <v>18</v>
      </c>
      <c r="C30" s="0" t="n">
        <f aca="false">H29</f>
        <v>0.55340576171875</v>
      </c>
      <c r="D30" s="0" t="n">
        <v>0.200008022625919</v>
      </c>
      <c r="E30" s="0" t="n">
        <f aca="false">$C$3-D30</f>
        <v>-8.02262591920178E-006</v>
      </c>
      <c r="F30" s="0" t="n">
        <f aca="false">IF(E30&gt;0,1,IF(E30&lt;0,-1,0))</f>
        <v>-1</v>
      </c>
      <c r="G30" s="0" t="n">
        <f aca="false">IF(F30=F29,G29,G29/2)</f>
        <v>3.0517578125E-005</v>
      </c>
      <c r="H30" s="0" t="n">
        <f aca="false">IF(E30&gt;0,C30+G30,C30-G30)</f>
        <v>0.553375244140625</v>
      </c>
      <c r="I30" s="0" t="n">
        <f aca="false">ABS(E30)</f>
        <v>8.02262591920178E-006</v>
      </c>
      <c r="J30" s="0" t="str">
        <f aca="false">IF(I30&lt;=$C$6,"SI","NO")</f>
        <v>SI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0.17"/>
    <col collapsed="false" customWidth="true" hidden="false" outlineLevel="0" max="4" min="4" style="0" width="21"/>
    <col collapsed="false" customWidth="true" hidden="false" outlineLevel="0" max="5" min="5" style="0" width="11"/>
    <col collapsed="false" customWidth="true" hidden="false" outlineLevel="0" max="6" min="6" style="0" width="29"/>
    <col collapsed="false" customWidth="true" hidden="false" outlineLevel="0" max="7" min="7" style="0" width="24"/>
    <col collapsed="false" customWidth="true" hidden="false" outlineLevel="0" max="8" min="8" style="0" width="28"/>
    <col collapsed="false" customWidth="true" hidden="false" outlineLevel="0" max="9" min="9" style="0" width="11"/>
    <col collapsed="false" customWidth="true" hidden="false" outlineLevel="0" max="10" min="10" style="0" width="26"/>
  </cols>
  <sheetData>
    <row r="3" customFormat="false" ht="15" hidden="false" customHeight="false" outlineLevel="0" collapsed="false">
      <c r="B3" s="0" t="s">
        <v>0</v>
      </c>
      <c r="C3" s="0" t="n">
        <v>0.45</v>
      </c>
    </row>
    <row r="4" customFormat="false" ht="15" hidden="false" customHeight="false" outlineLevel="0" collapsed="false">
      <c r="B4" s="0" t="s">
        <v>1</v>
      </c>
      <c r="C4" s="0" t="n">
        <v>15</v>
      </c>
    </row>
    <row r="5" customFormat="false" ht="15" hidden="false" customHeight="false" outlineLevel="0" collapsed="false">
      <c r="B5" s="0" t="s">
        <v>2</v>
      </c>
      <c r="C5" s="0" t="n">
        <v>10</v>
      </c>
    </row>
    <row r="6" customFormat="false" ht="15" hidden="false" customHeight="false" outlineLevel="0" collapsed="false">
      <c r="B6" s="0" t="s">
        <v>3</v>
      </c>
      <c r="C6" s="0" t="n">
        <v>1E-005</v>
      </c>
    </row>
    <row r="7" customFormat="false" ht="15" hidden="false" customHeight="false" outlineLevel="0" collapsed="false">
      <c r="B7" s="0" t="s">
        <v>4</v>
      </c>
      <c r="C7" s="0" t="n">
        <v>1</v>
      </c>
    </row>
    <row r="8" customFormat="false" ht="15" hidden="false" customHeight="false" outlineLevel="0" collapsed="false">
      <c r="B8" s="0" t="s">
        <v>5</v>
      </c>
      <c r="C8" s="0" t="n">
        <v>0.5</v>
      </c>
    </row>
    <row r="11" customFormat="false" ht="1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</row>
    <row r="12" customFormat="false" ht="15" hidden="false" customHeight="false" outlineLevel="0" collapsed="false">
      <c r="B12" s="0" t="n">
        <v>0</v>
      </c>
      <c r="C12" s="0" t="n">
        <f aca="false">$C$7</f>
        <v>1</v>
      </c>
      <c r="D12" s="0" t="n">
        <v>0.333415188835672</v>
      </c>
      <c r="E12" s="0" t="n">
        <f aca="false">$C$3-D12</f>
        <v>0.116584811164328</v>
      </c>
      <c r="F12" s="0" t="n">
        <f aca="false">IF(E12&gt;0,1,IF(E12&lt;0,-1,0))</f>
        <v>1</v>
      </c>
      <c r="G12" s="0" t="n">
        <f aca="false">$C$8</f>
        <v>0.5</v>
      </c>
      <c r="H12" s="0" t="n">
        <f aca="false">IF(E12&gt;0,C12+G12,C12-G12)</f>
        <v>1.5</v>
      </c>
      <c r="I12" s="0" t="n">
        <f aca="false">ABS(E12)</f>
        <v>0.116584811164328</v>
      </c>
      <c r="J12" s="0" t="str">
        <f aca="false">IF(I12&lt;=$C$6,"SI","NO")</f>
        <v>NO</v>
      </c>
    </row>
    <row r="13" customFormat="false" ht="15" hidden="false" customHeight="false" outlineLevel="0" collapsed="false">
      <c r="B13" s="0" t="n">
        <v>1</v>
      </c>
      <c r="C13" s="0" t="n">
        <f aca="false">H12</f>
        <v>1.5</v>
      </c>
      <c r="D13" s="0" t="n">
        <v>0.422816866878452</v>
      </c>
      <c r="E13" s="0" t="n">
        <f aca="false">$C$3-D13</f>
        <v>0.0271831331215482</v>
      </c>
      <c r="F13" s="0" t="n">
        <f aca="false">IF(E13&gt;0,1,IF(E13&lt;0,-1,0))</f>
        <v>1</v>
      </c>
      <c r="G13" s="0" t="n">
        <f aca="false">IF(F13=F12,G12,G12/2)</f>
        <v>0.5</v>
      </c>
      <c r="H13" s="0" t="n">
        <f aca="false">IF(E13&gt;0,C13+G13,C13-G13)</f>
        <v>2</v>
      </c>
      <c r="I13" s="0" t="n">
        <f aca="false">ABS(E13)</f>
        <v>0.0271831331215482</v>
      </c>
      <c r="J13" s="0" t="str">
        <f aca="false">IF(I13&lt;=$C$6,"SI","NO")</f>
        <v>NO</v>
      </c>
    </row>
    <row r="14" customFormat="false" ht="15" hidden="false" customHeight="false" outlineLevel="0" collapsed="false">
      <c r="B14" s="0" t="n">
        <v>2</v>
      </c>
      <c r="C14" s="0" t="n">
        <f aca="false">H13</f>
        <v>2</v>
      </c>
      <c r="D14" s="0" t="n">
        <v>0.468026446399356</v>
      </c>
      <c r="E14" s="0" t="n">
        <f aca="false">$C$3-D14</f>
        <v>-0.0180264463993564</v>
      </c>
      <c r="F14" s="0" t="n">
        <f aca="false">IF(E14&gt;0,1,IF(E14&lt;0,-1,0))</f>
        <v>-1</v>
      </c>
      <c r="G14" s="0" t="n">
        <f aca="false">IF(F14=F13,G13,G13/2)</f>
        <v>0.25</v>
      </c>
      <c r="H14" s="0" t="n">
        <f aca="false">IF(E14&gt;0,C14+G14,C14-G14)</f>
        <v>1.75</v>
      </c>
      <c r="I14" s="0" t="n">
        <f aca="false">ABS(E14)</f>
        <v>0.0180264463993564</v>
      </c>
      <c r="J14" s="0" t="str">
        <f aca="false">IF(I14&lt;=$C$6,"SI","NO")</f>
        <v>NO</v>
      </c>
    </row>
    <row r="15" customFormat="false" ht="15" hidden="false" customHeight="false" outlineLevel="0" collapsed="false">
      <c r="B15" s="0" t="n">
        <v>3</v>
      </c>
      <c r="C15" s="0" t="n">
        <f aca="false">H14</f>
        <v>1.75</v>
      </c>
      <c r="D15" s="0" t="n">
        <v>0.449729610068629</v>
      </c>
      <c r="E15" s="0" t="n">
        <f aca="false">$C$3-D15</f>
        <v>0.000270389931371517</v>
      </c>
      <c r="F15" s="0" t="n">
        <f aca="false">IF(E15&gt;0,1,IF(E15&lt;0,-1,0))</f>
        <v>1</v>
      </c>
      <c r="G15" s="0" t="n">
        <f aca="false">IF(F15=F14,G14,G14/2)</f>
        <v>0.125</v>
      </c>
      <c r="H15" s="0" t="n">
        <f aca="false">IF(E15&gt;0,C15+G15,C15-G15)</f>
        <v>1.875</v>
      </c>
      <c r="I15" s="0" t="n">
        <f aca="false">ABS(E15)</f>
        <v>0.000270389931371517</v>
      </c>
      <c r="J15" s="0" t="str">
        <f aca="false">IF(I15&lt;=$C$6,"SI","NO")</f>
        <v>NO</v>
      </c>
    </row>
    <row r="16" customFormat="false" ht="15" hidden="false" customHeight="false" outlineLevel="0" collapsed="false">
      <c r="B16" s="0" t="n">
        <v>4</v>
      </c>
      <c r="C16" s="0" t="n">
        <f aca="false">H15</f>
        <v>1.875</v>
      </c>
      <c r="D16" s="0" t="n">
        <v>0.459800425578393</v>
      </c>
      <c r="E16" s="0" t="n">
        <f aca="false">$C$3-D16</f>
        <v>-0.00980042557839311</v>
      </c>
      <c r="F16" s="0" t="n">
        <f aca="false">IF(E16&gt;0,1,IF(E16&lt;0,-1,0))</f>
        <v>-1</v>
      </c>
      <c r="G16" s="0" t="n">
        <f aca="false">IF(F16=F15,G15,G15/2)</f>
        <v>0.0625</v>
      </c>
      <c r="H16" s="0" t="n">
        <f aca="false">IF(E16&gt;0,C16+G16,C16-G16)</f>
        <v>1.8125</v>
      </c>
      <c r="I16" s="0" t="n">
        <f aca="false">ABS(E16)</f>
        <v>0.00980042557839311</v>
      </c>
      <c r="J16" s="0" t="str">
        <f aca="false">IF(I16&lt;=$C$6,"SI","NO")</f>
        <v>NO</v>
      </c>
    </row>
    <row r="17" customFormat="false" ht="15" hidden="false" customHeight="false" outlineLevel="0" collapsed="false">
      <c r="B17" s="0" t="n">
        <v>5</v>
      </c>
      <c r="C17" s="0" t="n">
        <f aca="false">H16</f>
        <v>1.8125</v>
      </c>
      <c r="D17" s="0" t="n">
        <v>0.455014328674459</v>
      </c>
      <c r="E17" s="0" t="n">
        <f aca="false">$C$3-D17</f>
        <v>-0.00501432867445911</v>
      </c>
      <c r="F17" s="0" t="n">
        <f aca="false">IF(E17&gt;0,1,IF(E17&lt;0,-1,0))</f>
        <v>-1</v>
      </c>
      <c r="G17" s="0" t="n">
        <f aca="false">IF(F17=F16,G16,G16/2)</f>
        <v>0.0625</v>
      </c>
      <c r="H17" s="0" t="n">
        <f aca="false">IF(E17&gt;0,C17+G17,C17-G17)</f>
        <v>1.75</v>
      </c>
      <c r="I17" s="0" t="n">
        <f aca="false">ABS(E17)</f>
        <v>0.00501432867445911</v>
      </c>
      <c r="J17" s="0" t="str">
        <f aca="false">IF(I17&lt;=$C$6,"SI","NO")</f>
        <v>NO</v>
      </c>
    </row>
    <row r="18" customFormat="false" ht="15" hidden="false" customHeight="false" outlineLevel="0" collapsed="false">
      <c r="B18" s="0" t="n">
        <v>6</v>
      </c>
      <c r="C18" s="0" t="n">
        <f aca="false">H17</f>
        <v>1.75</v>
      </c>
      <c r="D18" s="0" t="n">
        <v>0.449729610068629</v>
      </c>
      <c r="E18" s="0" t="n">
        <f aca="false">$C$3-D18</f>
        <v>0.000270389931371517</v>
      </c>
      <c r="F18" s="0" t="n">
        <f aca="false">IF(E18&gt;0,1,IF(E18&lt;0,-1,0))</f>
        <v>1</v>
      </c>
      <c r="G18" s="0" t="n">
        <f aca="false">IF(F18=F17,G17,G17/2)</f>
        <v>0.03125</v>
      </c>
      <c r="H18" s="0" t="n">
        <f aca="false">IF(E18&gt;0,C18+G18,C18-G18)</f>
        <v>1.78125</v>
      </c>
      <c r="I18" s="0" t="n">
        <f aca="false">ABS(E18)</f>
        <v>0.000270389931371517</v>
      </c>
      <c r="J18" s="0" t="str">
        <f aca="false">IF(I18&lt;=$C$6,"SI","NO")</f>
        <v>NO</v>
      </c>
    </row>
    <row r="19" customFormat="false" ht="15" hidden="false" customHeight="false" outlineLevel="0" collapsed="false">
      <c r="B19" s="0" t="n">
        <v>7</v>
      </c>
      <c r="C19" s="0" t="n">
        <f aca="false">H18</f>
        <v>1.78125</v>
      </c>
      <c r="D19" s="0" t="n">
        <v>0.45243670512234</v>
      </c>
      <c r="E19" s="0" t="n">
        <f aca="false">$C$3-D19</f>
        <v>-0.00243670512233951</v>
      </c>
      <c r="F19" s="0" t="n">
        <f aca="false">IF(E19&gt;0,1,IF(E19&lt;0,-1,0))</f>
        <v>-1</v>
      </c>
      <c r="G19" s="0" t="n">
        <f aca="false">IF(F19=F18,G18,G18/2)</f>
        <v>0.015625</v>
      </c>
      <c r="H19" s="0" t="n">
        <f aca="false">IF(E19&gt;0,C19+G19,C19-G19)</f>
        <v>1.765625</v>
      </c>
      <c r="I19" s="0" t="n">
        <f aca="false">ABS(E19)</f>
        <v>0.00243670512233951</v>
      </c>
      <c r="J19" s="0" t="str">
        <f aca="false">IF(I19&lt;=$C$6,"SI","NO")</f>
        <v>NO</v>
      </c>
    </row>
    <row r="20" customFormat="false" ht="15" hidden="false" customHeight="false" outlineLevel="0" collapsed="false">
      <c r="B20" s="0" t="n">
        <v>8</v>
      </c>
      <c r="C20" s="0" t="n">
        <f aca="false">H19</f>
        <v>1.765625</v>
      </c>
      <c r="D20" s="0" t="n">
        <v>0.451099646161937</v>
      </c>
      <c r="E20" s="0" t="n">
        <f aca="false">$C$3-D20</f>
        <v>-0.00109964616193647</v>
      </c>
      <c r="F20" s="0" t="n">
        <f aca="false">IF(E20&gt;0,1,IF(E20&lt;0,-1,0))</f>
        <v>-1</v>
      </c>
      <c r="G20" s="0" t="n">
        <f aca="false">IF(F20=F19,G19,G19/2)</f>
        <v>0.015625</v>
      </c>
      <c r="H20" s="0" t="n">
        <f aca="false">IF(E20&gt;0,C20+G20,C20-G20)</f>
        <v>1.75</v>
      </c>
      <c r="I20" s="0" t="n">
        <f aca="false">ABS(E20)</f>
        <v>0.00109964616193647</v>
      </c>
      <c r="J20" s="0" t="str">
        <f aca="false">IF(I20&lt;=$C$6,"SI","NO")</f>
        <v>NO</v>
      </c>
    </row>
    <row r="21" customFormat="false" ht="15" hidden="false" customHeight="false" outlineLevel="0" collapsed="false">
      <c r="B21" s="0" t="n">
        <v>9</v>
      </c>
      <c r="C21" s="0" t="n">
        <f aca="false">H20</f>
        <v>1.75</v>
      </c>
      <c r="D21" s="0" t="n">
        <v>0.449729610068629</v>
      </c>
      <c r="E21" s="0" t="n">
        <f aca="false">$C$3-D21</f>
        <v>0.000270389931371517</v>
      </c>
      <c r="F21" s="0" t="n">
        <f aca="false">IF(E21&gt;0,1,IF(E21&lt;0,-1,0))</f>
        <v>1</v>
      </c>
      <c r="G21" s="0" t="n">
        <f aca="false">IF(F21=F20,G20,G20/2)</f>
        <v>0.0078125</v>
      </c>
      <c r="H21" s="0" t="n">
        <f aca="false">IF(E21&gt;0,C21+G21,C21-G21)</f>
        <v>1.7578125</v>
      </c>
      <c r="I21" s="0" t="n">
        <f aca="false">ABS(E21)</f>
        <v>0.000270389931371517</v>
      </c>
      <c r="J21" s="0" t="str">
        <f aca="false">IF(I21&lt;=$C$6,"SI","NO")</f>
        <v>NO</v>
      </c>
    </row>
    <row r="22" customFormat="false" ht="15" hidden="false" customHeight="false" outlineLevel="0" collapsed="false">
      <c r="B22" s="0" t="n">
        <v>10</v>
      </c>
      <c r="C22" s="0" t="n">
        <f aca="false">H21</f>
        <v>1.7578125</v>
      </c>
      <c r="D22" s="0" t="n">
        <v>0.450418788537141</v>
      </c>
      <c r="E22" s="0" t="n">
        <f aca="false">$C$3-D22</f>
        <v>-0.000418788537140669</v>
      </c>
      <c r="F22" s="0" t="n">
        <f aca="false">IF(E22&gt;0,1,IF(E22&lt;0,-1,0))</f>
        <v>-1</v>
      </c>
      <c r="G22" s="0" t="n">
        <f aca="false">IF(F22=F21,G21,G21/2)</f>
        <v>0.00390625</v>
      </c>
      <c r="H22" s="0" t="n">
        <f aca="false">IF(E22&gt;0,C22+G22,C22-G22)</f>
        <v>1.75390625</v>
      </c>
      <c r="I22" s="0" t="n">
        <f aca="false">ABS(E22)</f>
        <v>0.000418788537140669</v>
      </c>
      <c r="J22" s="0" t="str">
        <f aca="false">IF(I22&lt;=$C$6,"SI","NO")</f>
        <v>NO</v>
      </c>
    </row>
    <row r="23" customFormat="false" ht="15" hidden="false" customHeight="false" outlineLevel="0" collapsed="false">
      <c r="B23" s="0" t="n">
        <v>11</v>
      </c>
      <c r="C23" s="0" t="n">
        <f aca="false">H22</f>
        <v>1.75390625</v>
      </c>
      <c r="D23" s="0" t="n">
        <v>0.450075244205156</v>
      </c>
      <c r="E23" s="0" t="n">
        <f aca="false">$C$3-D23</f>
        <v>-7.52442051555891E-005</v>
      </c>
      <c r="F23" s="0" t="n">
        <f aca="false">IF(E23&gt;0,1,IF(E23&lt;0,-1,0))</f>
        <v>-1</v>
      </c>
      <c r="G23" s="0" t="n">
        <f aca="false">IF(F23=F22,G22,G22/2)</f>
        <v>0.00390625</v>
      </c>
      <c r="H23" s="0" t="n">
        <f aca="false">IF(E23&gt;0,C23+G23,C23-G23)</f>
        <v>1.75</v>
      </c>
      <c r="I23" s="0" t="n">
        <f aca="false">ABS(E23)</f>
        <v>7.52442051555891E-005</v>
      </c>
      <c r="J23" s="0" t="str">
        <f aca="false">IF(I23&lt;=$C$6,"SI","NO")</f>
        <v>NO</v>
      </c>
    </row>
    <row r="24" customFormat="false" ht="15" hidden="false" customHeight="false" outlineLevel="0" collapsed="false">
      <c r="B24" s="0" t="n">
        <v>12</v>
      </c>
      <c r="C24" s="0" t="n">
        <f aca="false">H23</f>
        <v>1.75</v>
      </c>
      <c r="D24" s="0" t="n">
        <v>0.449729610068629</v>
      </c>
      <c r="E24" s="0" t="n">
        <f aca="false">$C$3-D24</f>
        <v>0.000270389931371517</v>
      </c>
      <c r="F24" s="0" t="n">
        <f aca="false">IF(E24&gt;0,1,IF(E24&lt;0,-1,0))</f>
        <v>1</v>
      </c>
      <c r="G24" s="0" t="n">
        <f aca="false">IF(F24=F23,G23,G23/2)</f>
        <v>0.001953125</v>
      </c>
      <c r="H24" s="0" t="n">
        <f aca="false">IF(E24&gt;0,C24+G24,C24-G24)</f>
        <v>1.751953125</v>
      </c>
      <c r="I24" s="0" t="n">
        <f aca="false">ABS(E24)</f>
        <v>0.000270389931371517</v>
      </c>
      <c r="J24" s="0" t="str">
        <f aca="false">IF(I24&lt;=$C$6,"SI","NO")</f>
        <v>NO</v>
      </c>
    </row>
    <row r="25" customFormat="false" ht="15" hidden="false" customHeight="false" outlineLevel="0" collapsed="false">
      <c r="B25" s="0" t="n">
        <v>13</v>
      </c>
      <c r="C25" s="0" t="n">
        <f aca="false">H24</f>
        <v>1.751953125</v>
      </c>
      <c r="D25" s="0" t="n">
        <v>0.44990268896277</v>
      </c>
      <c r="E25" s="0" t="n">
        <f aca="false">$C$3-D25</f>
        <v>9.73110372299857E-005</v>
      </c>
      <c r="F25" s="0" t="n">
        <f aca="false">IF(E25&gt;0,1,IF(E25&lt;0,-1,0))</f>
        <v>1</v>
      </c>
      <c r="G25" s="0" t="n">
        <f aca="false">IF(F25=F24,G24,G24/2)</f>
        <v>0.001953125</v>
      </c>
      <c r="H25" s="0" t="n">
        <f aca="false">IF(E25&gt;0,C25+G25,C25-G25)</f>
        <v>1.75390625</v>
      </c>
      <c r="I25" s="0" t="n">
        <f aca="false">ABS(E25)</f>
        <v>9.73110372299857E-005</v>
      </c>
      <c r="J25" s="0" t="str">
        <f aca="false">IF(I25&lt;=$C$6,"SI","NO")</f>
        <v>NO</v>
      </c>
    </row>
    <row r="26" customFormat="false" ht="15" hidden="false" customHeight="false" outlineLevel="0" collapsed="false">
      <c r="B26" s="0" t="n">
        <v>14</v>
      </c>
      <c r="C26" s="0" t="n">
        <f aca="false">H25</f>
        <v>1.75390625</v>
      </c>
      <c r="D26" s="0" t="n">
        <v>0.450075244205156</v>
      </c>
      <c r="E26" s="0" t="n">
        <f aca="false">$C$3-D26</f>
        <v>-7.52442051555891E-005</v>
      </c>
      <c r="F26" s="0" t="n">
        <f aca="false">IF(E26&gt;0,1,IF(E26&lt;0,-1,0))</f>
        <v>-1</v>
      </c>
      <c r="G26" s="0" t="n">
        <f aca="false">IF(F26=F25,G25,G25/2)</f>
        <v>0.0009765625</v>
      </c>
      <c r="H26" s="0" t="n">
        <f aca="false">IF(E26&gt;0,C26+G26,C26-G26)</f>
        <v>1.7529296875</v>
      </c>
      <c r="I26" s="0" t="n">
        <f aca="false">ABS(E26)</f>
        <v>7.52442051555891E-005</v>
      </c>
      <c r="J26" s="0" t="str">
        <f aca="false">IF(I26&lt;=$C$6,"SI","NO")</f>
        <v>NO</v>
      </c>
    </row>
    <row r="27" customFormat="false" ht="15" hidden="false" customHeight="false" outlineLevel="0" collapsed="false">
      <c r="B27" s="0" t="n">
        <v>15</v>
      </c>
      <c r="C27" s="0" t="n">
        <f aca="false">H26</f>
        <v>1.7529296875</v>
      </c>
      <c r="D27" s="0" t="n">
        <v>0.449989031965362</v>
      </c>
      <c r="E27" s="0" t="n">
        <f aca="false">$C$3-D27</f>
        <v>1.09680346376262E-005</v>
      </c>
      <c r="F27" s="0" t="n">
        <f aca="false">IF(E27&gt;0,1,IF(E27&lt;0,-1,0))</f>
        <v>1</v>
      </c>
      <c r="G27" s="0" t="n">
        <f aca="false">IF(F27=F26,G26,G26/2)</f>
        <v>0.00048828125</v>
      </c>
      <c r="H27" s="0" t="n">
        <f aca="false">IF(E27&gt;0,C27+G27,C27-G27)</f>
        <v>1.75341796875</v>
      </c>
      <c r="I27" s="0" t="n">
        <f aca="false">ABS(E27)</f>
        <v>1.09680346376262E-005</v>
      </c>
      <c r="J27" s="0" t="str">
        <f aca="false">IF(I27&lt;=$C$6,"SI","NO")</f>
        <v>NO</v>
      </c>
    </row>
    <row r="28" customFormat="false" ht="15" hidden="false" customHeight="false" outlineLevel="0" collapsed="false">
      <c r="B28" s="0" t="n">
        <v>16</v>
      </c>
      <c r="C28" s="0" t="n">
        <f aca="false">H27</f>
        <v>1.75341796875</v>
      </c>
      <c r="D28" s="0" t="n">
        <v>0.450032154421228</v>
      </c>
      <c r="E28" s="0" t="n">
        <f aca="false">$C$3-D28</f>
        <v>-3.21544212280034E-005</v>
      </c>
      <c r="F28" s="0" t="n">
        <f aca="false">IF(E28&gt;0,1,IF(E28&lt;0,-1,0))</f>
        <v>-1</v>
      </c>
      <c r="G28" s="0" t="n">
        <f aca="false">IF(F28=F27,G27,G27/2)</f>
        <v>0.000244140625</v>
      </c>
      <c r="H28" s="0" t="n">
        <f aca="false">IF(E28&gt;0,C28+G28,C28-G28)</f>
        <v>1.753173828125</v>
      </c>
      <c r="I28" s="0" t="n">
        <f aca="false">ABS(E28)</f>
        <v>3.21544212280034E-005</v>
      </c>
      <c r="J28" s="0" t="str">
        <f aca="false">IF(I28&lt;=$C$6,"SI","NO")</f>
        <v>NO</v>
      </c>
    </row>
    <row r="29" customFormat="false" ht="15" hidden="false" customHeight="false" outlineLevel="0" collapsed="false">
      <c r="B29" s="0" t="n">
        <v>17</v>
      </c>
      <c r="C29" s="0" t="n">
        <f aca="false">H28</f>
        <v>1.753173828125</v>
      </c>
      <c r="D29" s="0" t="n">
        <v>0.45001059727846</v>
      </c>
      <c r="E29" s="0" t="n">
        <f aca="false">$C$3-D29</f>
        <v>-1.05972784599784E-005</v>
      </c>
      <c r="F29" s="0" t="n">
        <f aca="false">IF(E29&gt;0,1,IF(E29&lt;0,-1,0))</f>
        <v>-1</v>
      </c>
      <c r="G29" s="0" t="n">
        <f aca="false">IF(F29=F28,G28,G28/2)</f>
        <v>0.000244140625</v>
      </c>
      <c r="H29" s="0" t="n">
        <f aca="false">IF(E29&gt;0,C29+G29,C29-G29)</f>
        <v>1.7529296875</v>
      </c>
      <c r="I29" s="0" t="n">
        <f aca="false">ABS(E29)</f>
        <v>1.05972784599784E-005</v>
      </c>
      <c r="J29" s="0" t="str">
        <f aca="false">IF(I29&lt;=$C$6,"SI","NO")</f>
        <v>NO</v>
      </c>
    </row>
    <row r="30" customFormat="false" ht="15" hidden="false" customHeight="false" outlineLevel="0" collapsed="false">
      <c r="B30" s="0" t="n">
        <v>18</v>
      </c>
      <c r="C30" s="0" t="n">
        <f aca="false">H29</f>
        <v>1.7529296875</v>
      </c>
      <c r="D30" s="0" t="n">
        <v>0.449989031965362</v>
      </c>
      <c r="E30" s="0" t="n">
        <f aca="false">$C$3-D30</f>
        <v>1.09680346376262E-005</v>
      </c>
      <c r="F30" s="0" t="n">
        <f aca="false">IF(E30&gt;0,1,IF(E30&lt;0,-1,0))</f>
        <v>1</v>
      </c>
      <c r="G30" s="0" t="n">
        <f aca="false">IF(F30=F29,G29,G29/2)</f>
        <v>0.0001220703125</v>
      </c>
      <c r="H30" s="0" t="n">
        <f aca="false">IF(E30&gt;0,C30+G30,C30-G30)</f>
        <v>1.7530517578125</v>
      </c>
      <c r="I30" s="0" t="n">
        <f aca="false">ABS(E30)</f>
        <v>1.09680346376262E-005</v>
      </c>
      <c r="J30" s="0" t="str">
        <f aca="false">IF(I30&lt;=$C$6,"SI","NO")</f>
        <v>NO</v>
      </c>
    </row>
    <row r="31" customFormat="false" ht="15" hidden="false" customHeight="false" outlineLevel="0" collapsed="false">
      <c r="B31" s="0" t="n">
        <v>19</v>
      </c>
      <c r="C31" s="0" t="n">
        <f aca="false">H30</f>
        <v>1.7530517578125</v>
      </c>
      <c r="D31" s="0" t="n">
        <v>0.449999815643349</v>
      </c>
      <c r="E31" s="0" t="n">
        <f aca="false">$C$3-D31</f>
        <v>1.84356651000694E-007</v>
      </c>
      <c r="F31" s="0" t="n">
        <f aca="false">IF(E31&gt;0,1,IF(E31&lt;0,-1,0))</f>
        <v>1</v>
      </c>
      <c r="G31" s="0" t="n">
        <f aca="false">IF(F31=F30,G30,G30/2)</f>
        <v>0.0001220703125</v>
      </c>
      <c r="H31" s="0" t="n">
        <f aca="false">IF(E31&gt;0,C31+G31,C31-G31)</f>
        <v>1.753173828125</v>
      </c>
      <c r="I31" s="0" t="n">
        <f aca="false">ABS(E31)</f>
        <v>1.84356651000694E-007</v>
      </c>
      <c r="J31" s="0" t="str">
        <f aca="false">IF(I31&lt;=$C$6,"SI","NO")</f>
        <v>SI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21"/>
    <col collapsed="false" customWidth="true" hidden="false" outlineLevel="0" max="5" min="5" style="0" width="43.63"/>
    <col collapsed="false" customWidth="true" hidden="false" outlineLevel="0" max="6" min="6" style="0" width="29"/>
    <col collapsed="false" customWidth="true" hidden="false" outlineLevel="0" max="7" min="7" style="0" width="24"/>
    <col collapsed="false" customWidth="true" hidden="false" outlineLevel="0" max="8" min="8" style="0" width="31.62"/>
    <col collapsed="false" customWidth="true" hidden="false" outlineLevel="0" max="9" min="9" style="0" width="33.09"/>
    <col collapsed="false" customWidth="true" hidden="false" outlineLevel="0" max="10" min="10" style="0" width="26"/>
  </cols>
  <sheetData>
    <row r="3" customFormat="false" ht="15" hidden="false" customHeight="false" outlineLevel="0" collapsed="false">
      <c r="B3" s="0" t="s">
        <v>0</v>
      </c>
      <c r="C3" s="0" t="n">
        <v>0.495</v>
      </c>
    </row>
    <row r="4" customFormat="false" ht="15" hidden="false" customHeight="false" outlineLevel="0" collapsed="false">
      <c r="B4" s="0" t="s">
        <v>1</v>
      </c>
      <c r="C4" s="0" t="n">
        <v>4</v>
      </c>
    </row>
    <row r="5" customFormat="false" ht="15" hidden="false" customHeight="false" outlineLevel="0" collapsed="false">
      <c r="B5" s="0" t="s">
        <v>2</v>
      </c>
      <c r="C5" s="0" t="n">
        <v>10</v>
      </c>
    </row>
    <row r="6" customFormat="false" ht="15" hidden="false" customHeight="false" outlineLevel="0" collapsed="false">
      <c r="B6" s="0" t="s">
        <v>3</v>
      </c>
      <c r="C6" s="0" t="n">
        <v>1E-005</v>
      </c>
    </row>
    <row r="7" customFormat="false" ht="15" hidden="false" customHeight="false" outlineLevel="0" collapsed="false">
      <c r="B7" s="0" t="s">
        <v>4</v>
      </c>
      <c r="C7" s="0" t="n">
        <v>1</v>
      </c>
    </row>
    <row r="8" customFormat="false" ht="15" hidden="false" customHeight="false" outlineLevel="0" collapsed="false">
      <c r="B8" s="0" t="s">
        <v>5</v>
      </c>
      <c r="C8" s="0" t="n">
        <v>0.5</v>
      </c>
    </row>
    <row r="11" customFormat="false" ht="1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</row>
    <row r="12" customFormat="false" ht="15" hidden="false" customHeight="false" outlineLevel="0" collapsed="false">
      <c r="B12" s="0" t="n">
        <v>0</v>
      </c>
      <c r="C12" s="0" t="n">
        <f aca="false">$C$7</f>
        <v>1</v>
      </c>
      <c r="D12" s="0" t="n">
        <v>0.31304971671786</v>
      </c>
      <c r="E12" s="0" t="n">
        <f aca="false">$C$3-D12</f>
        <v>0.18195028328214</v>
      </c>
      <c r="F12" s="0" t="n">
        <f aca="false">IF(E12&gt;0,1,IF(E12&lt;0,-1,0))</f>
        <v>1</v>
      </c>
      <c r="G12" s="0" t="n">
        <f aca="false">$C$8</f>
        <v>0.5</v>
      </c>
      <c r="H12" s="0" t="n">
        <f aca="false">IF(E12&gt;0,C12+G12,C12-G12)</f>
        <v>1.5</v>
      </c>
      <c r="I12" s="0" t="n">
        <f aca="false">ABS(E12)</f>
        <v>0.18195028328214</v>
      </c>
      <c r="J12" s="0" t="str">
        <f aca="false">IF(I12&lt;=$C$6,"SI","NO")</f>
        <v>NO</v>
      </c>
    </row>
    <row r="13" customFormat="false" ht="15" hidden="false" customHeight="false" outlineLevel="0" collapsed="false">
      <c r="B13" s="0" t="n">
        <v>1</v>
      </c>
      <c r="C13" s="0" t="n">
        <f aca="false">H12</f>
        <v>1.5</v>
      </c>
      <c r="D13" s="0" t="n">
        <v>0.395999877583801</v>
      </c>
      <c r="E13" s="0" t="n">
        <f aca="false">$C$3-D13</f>
        <v>0.0990001224161987</v>
      </c>
      <c r="F13" s="0" t="n">
        <f aca="false">IF(E13&gt;0,1,IF(E13&lt;0,-1,0))</f>
        <v>1</v>
      </c>
      <c r="G13" s="0" t="n">
        <f aca="false">IF(F13=F12,G12,G12/2)</f>
        <v>0.5</v>
      </c>
      <c r="H13" s="0" t="n">
        <f aca="false">IF(E13&gt;0,C13+G13,C13-G13)</f>
        <v>2</v>
      </c>
      <c r="I13" s="0" t="n">
        <f aca="false">ABS(E13)</f>
        <v>0.0990001224161987</v>
      </c>
      <c r="J13" s="0" t="str">
        <f aca="false">IF(I13&lt;=$C$6,"SI","NO")</f>
        <v>NO</v>
      </c>
    </row>
    <row r="14" customFormat="false" ht="15" hidden="false" customHeight="false" outlineLevel="0" collapsed="false">
      <c r="B14" s="0" t="n">
        <v>2</v>
      </c>
      <c r="C14" s="0" t="n">
        <f aca="false">H13</f>
        <v>2</v>
      </c>
      <c r="D14" s="0" t="n">
        <v>0.441940757472231</v>
      </c>
      <c r="E14" s="0" t="n">
        <f aca="false">$C$3-D14</f>
        <v>0.053059242527769</v>
      </c>
      <c r="F14" s="0" t="n">
        <f aca="false">IF(E14&gt;0,1,IF(E14&lt;0,-1,0))</f>
        <v>1</v>
      </c>
      <c r="G14" s="0" t="n">
        <f aca="false">IF(F14=F13,G13,G13/2)</f>
        <v>0.5</v>
      </c>
      <c r="H14" s="0" t="n">
        <f aca="false">IF(E14&gt;0,C14+G14,C14-G14)</f>
        <v>2.5</v>
      </c>
      <c r="I14" s="0" t="n">
        <f aca="false">ABS(E14)</f>
        <v>0.053059242527769</v>
      </c>
      <c r="J14" s="0" t="str">
        <f aca="false">IF(I14&lt;=$C$6,"SI","NO")</f>
        <v>NO</v>
      </c>
    </row>
    <row r="15" customFormat="false" ht="15" hidden="false" customHeight="false" outlineLevel="0" collapsed="false">
      <c r="B15" s="0" t="n">
        <v>3</v>
      </c>
      <c r="C15" s="0" t="n">
        <f aca="false">H14</f>
        <v>2.5</v>
      </c>
      <c r="D15" s="0" t="n">
        <v>0.466615128984144</v>
      </c>
      <c r="E15" s="0" t="n">
        <f aca="false">$C$3-D15</f>
        <v>0.0283848710158565</v>
      </c>
      <c r="F15" s="0" t="n">
        <f aca="false">IF(E15&gt;0,1,IF(E15&lt;0,-1,0))</f>
        <v>1</v>
      </c>
      <c r="G15" s="0" t="n">
        <f aca="false">IF(F15=F14,G14,G14/2)</f>
        <v>0.5</v>
      </c>
      <c r="H15" s="0" t="n">
        <f aca="false">IF(E15&gt;0,C15+G15,C15-G15)</f>
        <v>3</v>
      </c>
      <c r="I15" s="0" t="n">
        <f aca="false">ABS(E15)</f>
        <v>0.0283848710158565</v>
      </c>
      <c r="J15" s="0" t="str">
        <f aca="false">IF(I15&lt;=$C$6,"SI","NO")</f>
        <v>NO</v>
      </c>
    </row>
    <row r="16" customFormat="false" ht="15" hidden="false" customHeight="false" outlineLevel="0" collapsed="false">
      <c r="B16" s="0" t="n">
        <v>4</v>
      </c>
      <c r="C16" s="0" t="n">
        <f aca="false">H15</f>
        <v>3</v>
      </c>
      <c r="D16" s="0" t="n">
        <v>0.480027250347341</v>
      </c>
      <c r="E16" s="0" t="n">
        <f aca="false">$C$3-D16</f>
        <v>0.0149727496526594</v>
      </c>
      <c r="F16" s="0" t="n">
        <f aca="false">IF(E16&gt;0,1,IF(E16&lt;0,-1,0))</f>
        <v>1</v>
      </c>
      <c r="G16" s="0" t="n">
        <f aca="false">IF(F16=F15,G15,G15/2)</f>
        <v>0.5</v>
      </c>
      <c r="H16" s="0" t="n">
        <f aca="false">IF(E16&gt;0,C16+G16,C16-G16)</f>
        <v>3.5</v>
      </c>
      <c r="I16" s="0" t="n">
        <f aca="false">ABS(E16)</f>
        <v>0.0149727496526594</v>
      </c>
      <c r="J16" s="0" t="str">
        <f aca="false">IF(I16&lt;=$C$6,"SI","NO")</f>
        <v>NO</v>
      </c>
    </row>
    <row r="17" customFormat="false" ht="15" hidden="false" customHeight="false" outlineLevel="0" collapsed="false">
      <c r="B17" s="0" t="n">
        <v>5</v>
      </c>
      <c r="C17" s="0" t="n">
        <f aca="false">H16</f>
        <v>3.5</v>
      </c>
      <c r="D17" s="0" t="n">
        <v>0.487550033534076</v>
      </c>
      <c r="E17" s="0" t="n">
        <f aca="false">$C$3-D17</f>
        <v>0.00744996646592427</v>
      </c>
      <c r="F17" s="0" t="n">
        <f aca="false">IF(E17&gt;0,1,IF(E17&lt;0,-1,0))</f>
        <v>1</v>
      </c>
      <c r="G17" s="0" t="n">
        <f aca="false">IF(F17=F16,G16,G16/2)</f>
        <v>0.5</v>
      </c>
      <c r="H17" s="0" t="n">
        <f aca="false">IF(E17&gt;0,C17+G17,C17-G17)</f>
        <v>4</v>
      </c>
      <c r="I17" s="0" t="n">
        <f aca="false">ABS(E17)</f>
        <v>0.00744996646592427</v>
      </c>
      <c r="J17" s="0" t="str">
        <f aca="false">IF(I17&lt;=$C$6,"SI","NO")</f>
        <v>NO</v>
      </c>
    </row>
    <row r="18" customFormat="false" ht="15" hidden="false" customHeight="false" outlineLevel="0" collapsed="false">
      <c r="B18" s="0" t="n">
        <v>6</v>
      </c>
      <c r="C18" s="0" t="n">
        <f aca="false">H17</f>
        <v>4</v>
      </c>
      <c r="D18" s="0" t="n">
        <v>0.491931403826157</v>
      </c>
      <c r="E18" s="0" t="n">
        <f aca="false">$C$3-D18</f>
        <v>0.0030685961738432</v>
      </c>
      <c r="F18" s="0" t="n">
        <f aca="false">IF(E18&gt;0,1,IF(E18&lt;0,-1,0))</f>
        <v>1</v>
      </c>
      <c r="G18" s="0" t="n">
        <f aca="false">IF(F18=F17,G17,G17/2)</f>
        <v>0.5</v>
      </c>
      <c r="H18" s="0" t="n">
        <f aca="false">IF(E18&gt;0,C18+G18,C18-G18)</f>
        <v>4.5</v>
      </c>
      <c r="I18" s="0" t="n">
        <f aca="false">ABS(E18)</f>
        <v>0.0030685961738432</v>
      </c>
      <c r="J18" s="0" t="str">
        <f aca="false">IF(I18&lt;=$C$6,"SI","NO")</f>
        <v>NO</v>
      </c>
    </row>
    <row r="19" customFormat="false" ht="15" hidden="false" customHeight="false" outlineLevel="0" collapsed="false">
      <c r="B19" s="0" t="n">
        <v>7</v>
      </c>
      <c r="C19" s="0" t="n">
        <f aca="false">H18</f>
        <v>4.5</v>
      </c>
      <c r="D19" s="0" t="n">
        <v>0.494576923409072</v>
      </c>
      <c r="E19" s="0" t="n">
        <f aca="false">$C$3-D19</f>
        <v>0.000423076590927718</v>
      </c>
      <c r="F19" s="0" t="n">
        <f aca="false">IF(E19&gt;0,1,IF(E19&lt;0,-1,0))</f>
        <v>1</v>
      </c>
      <c r="G19" s="0" t="n">
        <f aca="false">IF(F19=F18,G18,G18/2)</f>
        <v>0.5</v>
      </c>
      <c r="H19" s="0" t="n">
        <f aca="false">IF(E19&gt;0,C19+G19,C19-G19)</f>
        <v>5</v>
      </c>
      <c r="I19" s="0" t="n">
        <f aca="false">ABS(E19)</f>
        <v>0.000423076590927718</v>
      </c>
      <c r="J19" s="0" t="str">
        <f aca="false">IF(I19&lt;=$C$6,"SI","NO")</f>
        <v>NO</v>
      </c>
    </row>
    <row r="20" customFormat="false" ht="15" hidden="false" customHeight="false" outlineLevel="0" collapsed="false">
      <c r="B20" s="0" t="n">
        <v>8</v>
      </c>
      <c r="C20" s="0" t="n">
        <f aca="false">H19</f>
        <v>5</v>
      </c>
      <c r="D20" s="0" t="n">
        <v>0.496216461334463</v>
      </c>
      <c r="E20" s="0" t="n">
        <f aca="false">$C$3-D20</f>
        <v>-0.00121646133446329</v>
      </c>
      <c r="F20" s="0" t="n">
        <f aca="false">IF(E20&gt;0,1,IF(E20&lt;0,-1,0))</f>
        <v>-1</v>
      </c>
      <c r="G20" s="0" t="n">
        <f aca="false">IF(F20=F19,G19,G19/2)</f>
        <v>0.25</v>
      </c>
      <c r="H20" s="0" t="n">
        <f aca="false">IF(E20&gt;0,C20+G20,C20-G20)</f>
        <v>4.75</v>
      </c>
      <c r="I20" s="0" t="n">
        <f aca="false">ABS(E20)</f>
        <v>0.00121646133446329</v>
      </c>
      <c r="J20" s="0" t="str">
        <f aca="false">IF(I20&lt;=$C$6,"SI","NO")</f>
        <v>NO</v>
      </c>
    </row>
    <row r="21" customFormat="false" ht="15" hidden="false" customHeight="false" outlineLevel="0" collapsed="false">
      <c r="B21" s="0" t="n">
        <v>9</v>
      </c>
      <c r="C21" s="0" t="n">
        <f aca="false">H20</f>
        <v>4.75</v>
      </c>
      <c r="D21" s="0" t="n">
        <v>0.495492839970218</v>
      </c>
      <c r="E21" s="0" t="n">
        <f aca="false">$C$3-D21</f>
        <v>-0.000492839970218095</v>
      </c>
      <c r="F21" s="0" t="n">
        <f aca="false">IF(E21&gt;0,1,IF(E21&lt;0,-1,0))</f>
        <v>-1</v>
      </c>
      <c r="G21" s="0" t="n">
        <f aca="false">IF(F21=F20,G20,G20/2)</f>
        <v>0.25</v>
      </c>
      <c r="H21" s="0" t="n">
        <f aca="false">IF(E21&gt;0,C21+G21,C21-G21)</f>
        <v>4.5</v>
      </c>
      <c r="I21" s="0" t="n">
        <f aca="false">ABS(E21)</f>
        <v>0.000492839970218095</v>
      </c>
      <c r="J21" s="0" t="str">
        <f aca="false">IF(I21&lt;=$C$6,"SI","NO")</f>
        <v>NO</v>
      </c>
    </row>
    <row r="22" customFormat="false" ht="15" hidden="false" customHeight="false" outlineLevel="0" collapsed="false">
      <c r="B22" s="0" t="n">
        <v>10</v>
      </c>
      <c r="C22" s="0" t="n">
        <f aca="false">H21</f>
        <v>4.5</v>
      </c>
      <c r="D22" s="0" t="n">
        <v>0.494576923409072</v>
      </c>
      <c r="E22" s="0" t="n">
        <f aca="false">$C$3-D22</f>
        <v>0.000423076590927718</v>
      </c>
      <c r="F22" s="0" t="n">
        <f aca="false">IF(E22&gt;0,1,IF(E22&lt;0,-1,0))</f>
        <v>1</v>
      </c>
      <c r="G22" s="0" t="n">
        <f aca="false">IF(F22=F21,G21,G21/2)</f>
        <v>0.125</v>
      </c>
      <c r="H22" s="0" t="n">
        <f aca="false">IF(E22&gt;0,C22+G22,C22-G22)</f>
        <v>4.625</v>
      </c>
      <c r="I22" s="0" t="n">
        <f aca="false">ABS(E22)</f>
        <v>0.000423076590927718</v>
      </c>
      <c r="J22" s="0" t="str">
        <f aca="false">IF(I22&lt;=$C$6,"SI","NO")</f>
        <v>NO</v>
      </c>
    </row>
    <row r="23" customFormat="false" ht="15" hidden="false" customHeight="false" outlineLevel="0" collapsed="false">
      <c r="B23" s="0" t="n">
        <v>11</v>
      </c>
      <c r="C23" s="0" t="n">
        <f aca="false">H22</f>
        <v>4.625</v>
      </c>
      <c r="D23" s="0" t="n">
        <v>0.495061890470587</v>
      </c>
      <c r="E23" s="0" t="n">
        <f aca="false">$C$3-D23</f>
        <v>-6.18904705871892E-005</v>
      </c>
      <c r="F23" s="0" t="n">
        <f aca="false">IF(E23&gt;0,1,IF(E23&lt;0,-1,0))</f>
        <v>-1</v>
      </c>
      <c r="G23" s="0" t="n">
        <f aca="false">IF(F23=F22,G22,G22/2)</f>
        <v>0.0625</v>
      </c>
      <c r="H23" s="0" t="n">
        <f aca="false">IF(E23&gt;0,C23+G23,C23-G23)</f>
        <v>4.5625</v>
      </c>
      <c r="I23" s="0" t="n">
        <f aca="false">ABS(E23)</f>
        <v>6.18904705871892E-005</v>
      </c>
      <c r="J23" s="0" t="str">
        <f aca="false">IF(I23&lt;=$C$6,"SI","NO")</f>
        <v>NO</v>
      </c>
    </row>
    <row r="24" customFormat="false" ht="15" hidden="false" customHeight="false" outlineLevel="0" collapsed="false">
      <c r="B24" s="0" t="n">
        <v>12</v>
      </c>
      <c r="C24" s="0" t="n">
        <f aca="false">H23</f>
        <v>4.5625</v>
      </c>
      <c r="D24" s="0" t="n">
        <v>0.494826585258245</v>
      </c>
      <c r="E24" s="0" t="n">
        <f aca="false">$C$3-D24</f>
        <v>0.000173414741755473</v>
      </c>
      <c r="F24" s="0" t="n">
        <f aca="false">IF(E24&gt;0,1,IF(E24&lt;0,-1,0))</f>
        <v>1</v>
      </c>
      <c r="G24" s="0" t="n">
        <f aca="false">IF(F24=F23,G23,G23/2)</f>
        <v>0.03125</v>
      </c>
      <c r="H24" s="0" t="n">
        <f aca="false">IF(E24&gt;0,C24+G24,C24-G24)</f>
        <v>4.59375</v>
      </c>
      <c r="I24" s="0" t="n">
        <f aca="false">ABS(E24)</f>
        <v>0.000173414741755473</v>
      </c>
      <c r="J24" s="0" t="str">
        <f aca="false">IF(I24&lt;=$C$6,"SI","NO")</f>
        <v>NO</v>
      </c>
    </row>
    <row r="25" customFormat="false" ht="15" hidden="false" customHeight="false" outlineLevel="0" collapsed="false">
      <c r="B25" s="0" t="n">
        <v>13</v>
      </c>
      <c r="C25" s="0" t="n">
        <f aca="false">H24</f>
        <v>4.59375</v>
      </c>
      <c r="D25" s="0" t="n">
        <v>0.494945976486844</v>
      </c>
      <c r="E25" s="0" t="n">
        <f aca="false">$C$3-D25</f>
        <v>5.40235131559763E-005</v>
      </c>
      <c r="F25" s="0" t="n">
        <f aca="false">IF(E25&gt;0,1,IF(E25&lt;0,-1,0))</f>
        <v>1</v>
      </c>
      <c r="G25" s="0" t="n">
        <f aca="false">IF(F25=F24,G24,G24/2)</f>
        <v>0.03125</v>
      </c>
      <c r="H25" s="0" t="n">
        <f aca="false">IF(E25&gt;0,C25+G25,C25-G25)</f>
        <v>4.625</v>
      </c>
      <c r="I25" s="0" t="n">
        <f aca="false">ABS(E25)</f>
        <v>5.40235131559763E-005</v>
      </c>
      <c r="J25" s="0" t="str">
        <f aca="false">IF(I25&lt;=$C$6,"SI","NO")</f>
        <v>NO</v>
      </c>
    </row>
    <row r="26" customFormat="false" ht="15" hidden="false" customHeight="false" outlineLevel="0" collapsed="false">
      <c r="B26" s="0" t="n">
        <v>14</v>
      </c>
      <c r="C26" s="0" t="n">
        <f aca="false">H25</f>
        <v>4.625</v>
      </c>
      <c r="D26" s="0" t="n">
        <v>0.495061890470587</v>
      </c>
      <c r="E26" s="0" t="n">
        <f aca="false">$C$3-D26</f>
        <v>-6.18904705871892E-005</v>
      </c>
      <c r="F26" s="0" t="n">
        <f aca="false">IF(E26&gt;0,1,IF(E26&lt;0,-1,0))</f>
        <v>-1</v>
      </c>
      <c r="G26" s="0" t="n">
        <f aca="false">IF(F26=F25,G25,G25/2)</f>
        <v>0.015625</v>
      </c>
      <c r="H26" s="0" t="n">
        <f aca="false">IF(E26&gt;0,C26+G26,C26-G26)</f>
        <v>4.609375</v>
      </c>
      <c r="I26" s="0" t="n">
        <f aca="false">ABS(E26)</f>
        <v>6.18904705871892E-005</v>
      </c>
      <c r="J26" s="0" t="str">
        <f aca="false">IF(I26&lt;=$C$6,"SI","NO")</f>
        <v>NO</v>
      </c>
    </row>
    <row r="27" customFormat="false" ht="15" hidden="false" customHeight="false" outlineLevel="0" collapsed="false">
      <c r="B27" s="0" t="n">
        <v>15</v>
      </c>
      <c r="C27" s="0" t="n">
        <f aca="false">H26</f>
        <v>4.609375</v>
      </c>
      <c r="D27" s="0" t="n">
        <v>0.495004361383549</v>
      </c>
      <c r="E27" s="0" t="n">
        <f aca="false">$C$3-D27</f>
        <v>-4.36138354908966E-006</v>
      </c>
      <c r="F27" s="0" t="n">
        <f aca="false">IF(E27&gt;0,1,IF(E27&lt;0,-1,0))</f>
        <v>-1</v>
      </c>
      <c r="G27" s="0" t="n">
        <f aca="false">IF(F27=F26,G26,G26/2)</f>
        <v>0.015625</v>
      </c>
      <c r="H27" s="0" t="n">
        <f aca="false">IF(E27&gt;0,C27+G27,C27-G27)</f>
        <v>4.59375</v>
      </c>
      <c r="I27" s="0" t="n">
        <f aca="false">ABS(E27)</f>
        <v>4.36138354908966E-006</v>
      </c>
      <c r="J27" s="0" t="str">
        <f aca="false">IF(I27&lt;=$C$6,"SI","NO")</f>
        <v>SI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2025-12-10T04:34:25Z</dcterms:created>
  <dc:creator>openpyxl</dc:creator>
  <dc:description/>
  <dc:language>es-ES</dc:language>
  <cp:lastModifiedBy/>
  <dcterms:modified xsi:type="dcterms:W3CDTF">2025-12-09T23:01:24Z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